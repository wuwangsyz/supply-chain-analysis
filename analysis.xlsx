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Q1 地区延迟" sheetId="2" state="visible" r:id="rId2"/>
    <sheet name="Q2 运输方式" sheetId="3" state="visible" r:id="rId3"/>
    <sheet name="Q3 月度需求" sheetId="4" state="visible" r:id="rId4"/>
    <sheet name="Q4 品类" sheetId="5" state="visible" r:id="rId5"/>
    <sheet name="断点与断点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总览 Q1：各地区延迟率（按订单数前 10）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'Q1 地区延迟'!D1</f>
            </strRef>
          </tx>
          <spPr>
            <a:ln>
              <a:prstDash val="solid"/>
            </a:ln>
          </spPr>
          <cat>
            <numRef>
              <f>'Q1 地区延迟'!$E$2:$E$11</f>
            </numRef>
          </cat>
          <val>
            <numRef>
              <f>'Q1 地区延迟'!$D$2:$D$11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总览 Q2：各运输方式延迟率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'Q2 运输方式'!E1</f>
            </strRef>
          </tx>
          <spPr>
            <a:ln>
              <a:prstDash val="solid"/>
            </a:ln>
          </spPr>
          <cat>
            <numRef>
              <f>'Q2 运输方式'!$F$2:$F$5</f>
            </numRef>
          </cat>
          <val>
            <numRef>
              <f>'Q2 运输方式'!$E$2:$E$5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总览 Q3：季度订单数（2017Q4 为断点）</a:t>
            </a:r>
          </a:p>
        </rich>
      </tx>
    </title>
    <plotArea>
      <lineChart>
        <grouping val="standard"/>
        <ser>
          <idx val="0"/>
          <order val="0"/>
          <tx>
            <strRef>
              <f>'Q3 月度需求'!B1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'Q3 月度需求'!$A$2:$A$13</f>
            </numRef>
          </cat>
          <val>
            <numRef>
              <f>'Q3 月度需求'!$B$2:$B$13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总览 Q4：销售额前 10 品类的延迟率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'Q4 品类'!E1</f>
            </strRef>
          </tx>
          <spPr>
            <a:ln>
              <a:prstDash val="solid"/>
            </a:ln>
          </spPr>
          <cat>
            <numRef>
              <f>'Q4 品类'!$F$2:$F$11</f>
            </numRef>
          </cat>
          <val>
            <numRef>
              <f>'Q4 品类'!$E$2:$E$11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Q1 各地区订单级延迟率（括号内为订单数）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'Q1 地区延迟'!D1</f>
            </strRef>
          </tx>
          <spPr>
            <a:ln>
              <a:prstDash val="solid"/>
            </a:ln>
          </spPr>
          <cat>
            <numRef>
              <f>'Q1 地区延迟'!$E$2:$E$24</f>
            </numRef>
          </cat>
          <val>
            <numRef>
              <f>'Q1 地区延迟'!$D$2:$D$24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延迟率（%）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Q2 各运输方式订单级延迟率（括号内为订单数）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'Q2 运输方式'!E1</f>
            </strRef>
          </tx>
          <spPr>
            <a:ln>
              <a:prstDash val="solid"/>
            </a:ln>
          </spPr>
          <cat>
            <numRef>
              <f>'Q2 运输方式'!$F$2:$F$5</f>
            </numRef>
          </cat>
          <val>
            <numRef>
              <f>'Q2 运输方式'!$E$2:$E$5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延迟率（%）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Q3 季度订单数（2017Q4 为记录结构断点，见下方说明）</a:t>
            </a:r>
          </a:p>
        </rich>
      </tx>
    </title>
    <plotArea>
      <lineChart>
        <grouping val="standard"/>
        <ser>
          <idx val="0"/>
          <order val="0"/>
          <tx>
            <strRef>
              <f>'Q3 月度需求'!B1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'Q3 月度需求'!$A$2:$A$13</f>
            </numRef>
          </cat>
          <val>
            <numRef>
              <f>'Q3 月度需求'!$B$2:$B$13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订单数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Q4 销售额前 15 品类的订单级延迟率（括号内为订单数）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'Q4 品类'!E1</f>
            </strRef>
          </tx>
          <spPr>
            <a:ln>
              <a:prstDash val="solid"/>
            </a:ln>
          </spPr>
          <cat>
            <numRef>
              <f>'Q4 品类'!$F$2:$F$16</f>
            </numRef>
          </cat>
          <val>
            <numRef>
              <f>'Q4 品类'!$E$2:$E$16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延迟率（%）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57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3</row>
      <rowOff>0</rowOff>
    </from>
    <ext cx="57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21</row>
      <rowOff>0</rowOff>
    </from>
    <ext cx="57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44" customWidth="1" min="4" max="4"/>
    <col width="34" customWidth="1" min="5" max="5"/>
  </cols>
  <sheetData>
    <row r="1">
      <c r="A1" s="1" t="inlineStr">
        <is>
          <t>供应链与配送履约分析：总览</t>
        </is>
      </c>
    </row>
    <row r="2">
      <c r="A2" t="inlineStr">
        <is>
          <t>数据：DataCo 公开供应链数据集，180,519 行订单项、65,752 个订单、37 个月（2015-01 至 2018-01）。公开样本，不是企业真实数据。口径见 metrics.md，核对见 validation.md，断点分析见 break_analysis.md。</t>
        </is>
      </c>
    </row>
    <row r="4">
      <c r="A4" s="2" t="inlineStr">
        <is>
          <t>题号</t>
        </is>
      </c>
      <c r="B4" s="2" t="inlineStr">
        <is>
          <t>业务问题</t>
        </is>
      </c>
      <c r="C4" s="2" t="inlineStr">
        <is>
          <t>关键数字</t>
        </is>
      </c>
      <c r="D4" s="2" t="inlineStr">
        <is>
          <t>结论（一句话）</t>
        </is>
      </c>
      <c r="E4" s="2" t="inlineStr">
        <is>
          <t>限制条件</t>
        </is>
      </c>
    </row>
    <row r="5">
      <c r="A5" s="2" t="inlineStr">
        <is>
          <t>Q1</t>
        </is>
      </c>
      <c r="B5" t="inlineStr">
        <is>
          <t>哪些地区延迟率高且订单量大</t>
        </is>
      </c>
      <c r="C5" t="inlineStr">
        <is>
          <t>全期订单级延迟率 54.82%（36,048 / 65,752）。延迟率最高：Central Africa 57.55%（556 单）；最低：Canada 49.51%（309 单）。单量最大：Western Europe 10,010 单、55.79%</t>
        </is>
      </c>
      <c r="D5" t="inlineStr">
        <is>
          <t>23 个地区的延迟率跨度不到 8 个百分点，单量最大的地区只比总体高约 1 个百分点，看不出哪个地区明显更差；要按影响面排序，先看延迟订单数最大的地区</t>
        </is>
      </c>
      <c r="E5" t="inlineStr">
        <is>
          <t>延迟率最高和最低的地区样本都不足 700 单，标准误约 2 个百分点以上；该结论在断点后窗口重复成立（见断点与断点后页第 4 节）</t>
        </is>
      </c>
    </row>
    <row r="6">
      <c r="A6" s="2" t="inlineStr">
        <is>
          <t>Q2</t>
        </is>
      </c>
      <c r="B6" t="inlineStr">
        <is>
          <t>各运输方式的承诺时效是否匹配</t>
        </is>
      </c>
      <c r="C6" t="inlineStr">
        <is>
          <t>First Class：承诺 1 天、实际 2 天，延迟率 95.27%；Second Class：承诺 2 天、实际 4 天，延迟率 76.72%；Standard Class：承诺 4 天、实际 4 天，延迟率 38.13%</t>
        </is>
      </c>
      <c r="D6" t="inlineStr">
        <is>
          <t>承诺天数越短的方式延迟率越高；First Class 与 Second Class 的承诺天数与实际所需天数不匹配，这两类的承诺应改为按实际天数设定</t>
        </is>
      </c>
      <c r="E6" t="inlineStr">
        <is>
          <t>延迟标志由实际天数与承诺天数之差决定，是定义性关系，不能当作因果；实际天数分布近似均匀，不像真实物流数据（validation.md Q2 第 5 节）</t>
        </is>
      </c>
    </row>
    <row r="7">
      <c r="A7" s="2" t="inlineStr">
        <is>
          <t>Q3</t>
        </is>
      </c>
      <c r="B7" t="inlineStr">
        <is>
          <t>订单量在各季度如何波动，哪些季度要提前备料</t>
        </is>
      </c>
      <c r="C7" t="inlineStr">
        <is>
          <t>2015Q1–2017Q3 的 11 个季度订单数在 5,141–5,309 之间，延迟率 53.94%–55.51%；2017Q4 记录值 6,280（较前一季度约 +19%），同期每单行数由 3.0 降为 1.0</t>
        </is>
      </c>
      <c r="D7" t="inlineStr">
        <is>
          <t>前期需求平稳、没有明显季节性，看不出需要按季度提前备料的窗口；2017Q4 的订单数上升与记录方式变化同时发生，不能当作需求高峰</t>
        </is>
      </c>
      <c r="E7" t="inlineStr">
        <is>
          <t>2017Q4 订单数按口径不同落在 2,146–6,280 之间，主口径取假设 A 5,195（是假设，不是观测）；2018 年只有 1 月</t>
        </is>
      </c>
    </row>
    <row r="8">
      <c r="A8" s="2" t="inlineStr">
        <is>
          <t>Q4</t>
        </is>
      </c>
      <c r="B8" t="inlineStr">
        <is>
          <t>哪些品类量大、销售额高但履约差</t>
        </is>
      </c>
      <c r="C8" t="inlineStr">
        <is>
          <t>断点前窗口总体延迟率 54.77%；销售额前 5 品类（Fishing, Cleats, Camping &amp; Hiking, Cardio Equipment, Women's Apparel）延迟率 54.42%–55.09%，与总体差距都在 1 个百分点内</t>
        </is>
      </c>
      <c r="D8" t="inlineStr">
        <is>
          <t>没有量大且履约差的品类；延迟在各品类之间分布均匀，问题更可能在整体配送流程，而不是某个品类</t>
        </is>
      </c>
      <c r="E8" t="inlineStr">
        <is>
          <t>32 个品类同时比较，个别小样本品类偏离属偶然（最小的 Basketball 只有 56 单）；断点后品类结构变化，不参与排名（Q4P 各品类 3–30 单，不足以下结论）</t>
        </is>
      </c>
    </row>
    <row r="10">
      <c r="A10" s="2" t="inlineStr">
        <is>
          <t>断点（2017-10）破坏了量的可比性，没有破坏率的可比性。判定依据见 break_analysis.md。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5" max="5"/>
  </cols>
  <sheetData>
    <row r="1">
      <c r="A1" t="inlineStr">
        <is>
          <t>地区</t>
        </is>
      </c>
      <c r="B1" t="inlineStr">
        <is>
          <t>订单数</t>
        </is>
      </c>
      <c r="C1" t="inlineStr">
        <is>
          <t>延迟订单数</t>
        </is>
      </c>
      <c r="D1" t="inlineStr">
        <is>
          <t>订单级延迟率（%）</t>
        </is>
      </c>
      <c r="E1" t="inlineStr">
        <is>
          <t>图表标签</t>
        </is>
      </c>
    </row>
    <row r="2">
      <c r="A2" t="inlineStr">
        <is>
          <t>Western Europe</t>
        </is>
      </c>
      <c r="B2" t="n">
        <v>10010</v>
      </c>
      <c r="C2" t="n">
        <v>5585</v>
      </c>
      <c r="D2" t="n">
        <v>55.79</v>
      </c>
      <c r="E2" t="inlineStr">
        <is>
          <t>Western Europe（10,010）</t>
        </is>
      </c>
    </row>
    <row r="3">
      <c r="A3" t="inlineStr">
        <is>
          <t>Central America</t>
        </is>
      </c>
      <c r="B3" t="n">
        <v>9396</v>
      </c>
      <c r="C3" t="n">
        <v>5156</v>
      </c>
      <c r="D3" t="n">
        <v>54.87</v>
      </c>
      <c r="E3" t="inlineStr">
        <is>
          <t>Central America（9,396）</t>
        </is>
      </c>
    </row>
    <row r="4">
      <c r="A4" t="inlineStr">
        <is>
          <t>South America</t>
        </is>
      </c>
      <c r="B4" t="n">
        <v>4979</v>
      </c>
      <c r="C4" t="n">
        <v>2696</v>
      </c>
      <c r="D4" t="n">
        <v>54.15</v>
      </c>
      <c r="E4" t="inlineStr">
        <is>
          <t>South America（4,979）</t>
        </is>
      </c>
    </row>
    <row r="5">
      <c r="A5" t="inlineStr">
        <is>
          <t>Oceania</t>
        </is>
      </c>
      <c r="B5" t="n">
        <v>4362</v>
      </c>
      <c r="C5" t="n">
        <v>2382</v>
      </c>
      <c r="D5" t="n">
        <v>54.61</v>
      </c>
      <c r="E5" t="inlineStr">
        <is>
          <t>Oceania（4,362）</t>
        </is>
      </c>
    </row>
    <row r="6">
      <c r="A6" t="inlineStr">
        <is>
          <t>Southeast Asia</t>
        </is>
      </c>
      <c r="B6" t="n">
        <v>4356</v>
      </c>
      <c r="C6" t="n">
        <v>2421</v>
      </c>
      <c r="D6" t="n">
        <v>55.58</v>
      </c>
      <c r="E6" t="inlineStr">
        <is>
          <t>Southeast Asia（4,356）</t>
        </is>
      </c>
    </row>
    <row r="7">
      <c r="A7" t="inlineStr">
        <is>
          <t>Northern Europe</t>
        </is>
      </c>
      <c r="B7" t="n">
        <v>3716</v>
      </c>
      <c r="C7" t="n">
        <v>1996</v>
      </c>
      <c r="D7" t="n">
        <v>53.71</v>
      </c>
      <c r="E7" t="inlineStr">
        <is>
          <t>Northern Europe（3,716）</t>
        </is>
      </c>
    </row>
    <row r="8">
      <c r="A8" t="inlineStr">
        <is>
          <t>Southern Europe</t>
        </is>
      </c>
      <c r="B8" t="n">
        <v>3543</v>
      </c>
      <c r="C8" t="n">
        <v>1895</v>
      </c>
      <c r="D8" t="n">
        <v>53.49</v>
      </c>
      <c r="E8" t="inlineStr">
        <is>
          <t>Southern Europe（3,543）</t>
        </is>
      </c>
    </row>
    <row r="9">
      <c r="A9" t="inlineStr">
        <is>
          <t>South Asia</t>
        </is>
      </c>
      <c r="B9" t="n">
        <v>3335</v>
      </c>
      <c r="C9" t="n">
        <v>1865</v>
      </c>
      <c r="D9" t="n">
        <v>55.92</v>
      </c>
      <c r="E9" t="inlineStr">
        <is>
          <t>South Asia（3,335）</t>
        </is>
      </c>
    </row>
    <row r="10">
      <c r="A10" t="inlineStr">
        <is>
          <t>Eastern Asia</t>
        </is>
      </c>
      <c r="B10" t="n">
        <v>3318</v>
      </c>
      <c r="C10" t="n">
        <v>1818</v>
      </c>
      <c r="D10" t="n">
        <v>54.79</v>
      </c>
      <c r="E10" t="inlineStr">
        <is>
          <t>Eastern Asia（3,318）</t>
        </is>
      </c>
    </row>
    <row r="11">
      <c r="A11" t="inlineStr">
        <is>
          <t>Caribbean</t>
        </is>
      </c>
      <c r="B11" t="n">
        <v>2806</v>
      </c>
      <c r="C11" t="n">
        <v>1487</v>
      </c>
      <c r="D11" t="n">
        <v>52.99</v>
      </c>
      <c r="E11" t="inlineStr">
        <is>
          <t>Caribbean（2,806）</t>
        </is>
      </c>
    </row>
    <row r="12">
      <c r="A12" t="inlineStr">
        <is>
          <t>West of USA</t>
        </is>
      </c>
      <c r="B12" t="n">
        <v>2667</v>
      </c>
      <c r="C12" t="n">
        <v>1451</v>
      </c>
      <c r="D12" t="n">
        <v>54.41</v>
      </c>
      <c r="E12" t="inlineStr">
        <is>
          <t>West of USA（2,667）</t>
        </is>
      </c>
    </row>
    <row r="13">
      <c r="A13" t="inlineStr">
        <is>
          <t>East of USA</t>
        </is>
      </c>
      <c r="B13" t="n">
        <v>2323</v>
      </c>
      <c r="C13" t="n">
        <v>1276</v>
      </c>
      <c r="D13" t="n">
        <v>54.93</v>
      </c>
      <c r="E13" t="inlineStr">
        <is>
          <t>East of USA（2,323）</t>
        </is>
      </c>
    </row>
    <row r="14">
      <c r="A14" t="inlineStr">
        <is>
          <t>West Asia</t>
        </is>
      </c>
      <c r="B14" t="n">
        <v>2022</v>
      </c>
      <c r="C14" t="n">
        <v>1132</v>
      </c>
      <c r="D14" t="n">
        <v>55.98</v>
      </c>
      <c r="E14" t="inlineStr">
        <is>
          <t>West Asia（2,022）</t>
        </is>
      </c>
    </row>
    <row r="15">
      <c r="A15" t="inlineStr">
        <is>
          <t>US Center</t>
        </is>
      </c>
      <c r="B15" t="n">
        <v>1935</v>
      </c>
      <c r="C15" t="n">
        <v>1071</v>
      </c>
      <c r="D15" t="n">
        <v>55.35</v>
      </c>
      <c r="E15" t="inlineStr">
        <is>
          <t>US Center（1,935）</t>
        </is>
      </c>
    </row>
    <row r="16">
      <c r="A16" t="inlineStr">
        <is>
          <t>South of  USA</t>
        </is>
      </c>
      <c r="B16" t="n">
        <v>1345</v>
      </c>
      <c r="C16" t="n">
        <v>753</v>
      </c>
      <c r="D16" t="n">
        <v>55.99</v>
      </c>
      <c r="E16" t="inlineStr">
        <is>
          <t>South of  USA（1,345）</t>
        </is>
      </c>
    </row>
    <row r="17">
      <c r="A17" t="inlineStr">
        <is>
          <t>Eastern Europe</t>
        </is>
      </c>
      <c r="B17" t="n">
        <v>1292</v>
      </c>
      <c r="C17" t="n">
        <v>723</v>
      </c>
      <c r="D17" t="n">
        <v>55.96</v>
      </c>
      <c r="E17" t="inlineStr">
        <is>
          <t>Eastern Europe（1,292）</t>
        </is>
      </c>
    </row>
    <row r="18">
      <c r="A18" t="inlineStr">
        <is>
          <t>West Africa</t>
        </is>
      </c>
      <c r="B18" t="n">
        <v>1223</v>
      </c>
      <c r="C18" t="n">
        <v>626</v>
      </c>
      <c r="D18" t="n">
        <v>51.19</v>
      </c>
      <c r="E18" t="inlineStr">
        <is>
          <t>West Africa（1,223）</t>
        </is>
      </c>
    </row>
    <row r="19">
      <c r="A19" t="inlineStr">
        <is>
          <t>North Africa</t>
        </is>
      </c>
      <c r="B19" t="n">
        <v>1064</v>
      </c>
      <c r="C19" t="n">
        <v>578</v>
      </c>
      <c r="D19" t="n">
        <v>54.32</v>
      </c>
      <c r="E19" t="inlineStr">
        <is>
          <t>North Africa（1,064）</t>
        </is>
      </c>
    </row>
    <row r="20">
      <c r="A20" t="inlineStr">
        <is>
          <t>East Africa</t>
        </is>
      </c>
      <c r="B20" t="n">
        <v>613</v>
      </c>
      <c r="C20" t="n">
        <v>348</v>
      </c>
      <c r="D20" t="n">
        <v>56.77</v>
      </c>
      <c r="E20" t="inlineStr">
        <is>
          <t>East Africa（613）</t>
        </is>
      </c>
    </row>
    <row r="21">
      <c r="A21" t="inlineStr">
        <is>
          <t>Central Africa</t>
        </is>
      </c>
      <c r="B21" t="n">
        <v>556</v>
      </c>
      <c r="C21" t="n">
        <v>320</v>
      </c>
      <c r="D21" t="n">
        <v>57.55</v>
      </c>
      <c r="E21" t="inlineStr">
        <is>
          <t>Central Africa（556）</t>
        </is>
      </c>
    </row>
    <row r="22">
      <c r="A22" t="inlineStr">
        <is>
          <t>Southern Africa</t>
        </is>
      </c>
      <c r="B22" t="n">
        <v>398</v>
      </c>
      <c r="C22" t="n">
        <v>214</v>
      </c>
      <c r="D22" t="n">
        <v>53.77</v>
      </c>
      <c r="E22" t="inlineStr">
        <is>
          <t>Southern Africa（398）</t>
        </is>
      </c>
    </row>
    <row r="23">
      <c r="A23" t="inlineStr">
        <is>
          <t>Canada</t>
        </is>
      </c>
      <c r="B23" t="n">
        <v>309</v>
      </c>
      <c r="C23" t="n">
        <v>153</v>
      </c>
      <c r="D23" t="n">
        <v>49.51</v>
      </c>
      <c r="E23" t="inlineStr">
        <is>
          <t>Canada（309）</t>
        </is>
      </c>
    </row>
    <row r="24">
      <c r="A24" t="inlineStr">
        <is>
          <t>Central Asia</t>
        </is>
      </c>
      <c r="B24" t="n">
        <v>184</v>
      </c>
      <c r="C24" t="n">
        <v>102</v>
      </c>
      <c r="D24" t="n">
        <v>55.43</v>
      </c>
      <c r="E24" t="inlineStr">
        <is>
          <t>Central Asia（184）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6" max="6"/>
  </cols>
  <sheetData>
    <row r="1">
      <c r="A1" t="inlineStr">
        <is>
          <t>运输方式</t>
        </is>
      </c>
      <c r="B1" t="inlineStr">
        <is>
          <t>订单数</t>
        </is>
      </c>
      <c r="C1" t="inlineStr">
        <is>
          <t>平均计划天数</t>
        </is>
      </c>
      <c r="D1" t="inlineStr">
        <is>
          <t>平均实际天数</t>
        </is>
      </c>
      <c r="E1" t="inlineStr">
        <is>
          <t>订单级延迟率（%）</t>
        </is>
      </c>
      <c r="F1" t="inlineStr">
        <is>
          <t>图表标签</t>
        </is>
      </c>
    </row>
    <row r="2">
      <c r="A2" t="inlineStr">
        <is>
          <t>Standard Class</t>
        </is>
      </c>
      <c r="B2" t="n">
        <v>39324</v>
      </c>
      <c r="C2" t="n">
        <v>4</v>
      </c>
      <c r="D2" t="n">
        <v>4</v>
      </c>
      <c r="E2" t="n">
        <v>38.13</v>
      </c>
      <c r="F2" t="inlineStr">
        <is>
          <t>Standard Class（39,324）</t>
        </is>
      </c>
    </row>
    <row r="3">
      <c r="A3" t="inlineStr">
        <is>
          <t>Second Class</t>
        </is>
      </c>
      <c r="B3" t="n">
        <v>12778</v>
      </c>
      <c r="C3" t="n">
        <v>2</v>
      </c>
      <c r="D3" t="n">
        <v>4</v>
      </c>
      <c r="E3" t="n">
        <v>76.72</v>
      </c>
      <c r="F3" t="inlineStr">
        <is>
          <t>Second Class（12,778）</t>
        </is>
      </c>
    </row>
    <row r="4">
      <c r="A4" t="inlineStr">
        <is>
          <t>First Class</t>
        </is>
      </c>
      <c r="B4" t="n">
        <v>10079</v>
      </c>
      <c r="C4" t="n">
        <v>1</v>
      </c>
      <c r="D4" t="n">
        <v>2</v>
      </c>
      <c r="E4" t="n">
        <v>95.27</v>
      </c>
      <c r="F4" t="inlineStr">
        <is>
          <t>First Class（10,079）</t>
        </is>
      </c>
    </row>
    <row r="5">
      <c r="A5" t="inlineStr">
        <is>
          <t>Same Day</t>
        </is>
      </c>
      <c r="B5" t="n">
        <v>3571</v>
      </c>
      <c r="C5" t="n">
        <v>0</v>
      </c>
      <c r="D5" t="n">
        <v>0.48</v>
      </c>
      <c r="E5" t="n">
        <v>46.15</v>
      </c>
      <c r="F5" t="inlineStr">
        <is>
          <t>Same Day（3,571）</t>
        </is>
      </c>
    </row>
    <row r="8">
      <c r="A8" t="inlineStr">
        <is>
          <t>敏感性检查：排除已取消订单</t>
        </is>
      </c>
    </row>
    <row r="9">
      <c r="A9" t="inlineStr">
        <is>
          <t>运输方式</t>
        </is>
      </c>
      <c r="B9" t="inlineStr">
        <is>
          <t>订单数</t>
        </is>
      </c>
      <c r="C9" t="inlineStr">
        <is>
          <t>订单级延迟率（%）</t>
        </is>
      </c>
    </row>
    <row r="10">
      <c r="A10" t="inlineStr">
        <is>
          <t>Standard Class</t>
        </is>
      </c>
      <c r="B10" t="n">
        <v>37632</v>
      </c>
      <c r="C10" t="n">
        <v>39.85</v>
      </c>
    </row>
    <row r="11">
      <c r="A11" t="inlineStr">
        <is>
          <t>Second Class</t>
        </is>
      </c>
      <c r="B11" t="n">
        <v>12256</v>
      </c>
      <c r="C11" t="n">
        <v>79.98999999999999</v>
      </c>
    </row>
    <row r="12">
      <c r="A12" t="inlineStr">
        <is>
          <t>First Class</t>
        </is>
      </c>
      <c r="B12" t="n">
        <v>9602</v>
      </c>
      <c r="C12" t="n">
        <v>100</v>
      </c>
    </row>
    <row r="13">
      <c r="A13" t="inlineStr">
        <is>
          <t>Same Day</t>
        </is>
      </c>
      <c r="B13" t="n">
        <v>3407</v>
      </c>
      <c r="C13" t="n">
        <v>48.37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5" max="5"/>
  </cols>
  <sheetData>
    <row r="1">
      <c r="A1" t="inlineStr">
        <is>
          <t>季度（12 个完整季度）</t>
        </is>
      </c>
      <c r="B1" t="inlineStr">
        <is>
          <t>订单数</t>
        </is>
      </c>
      <c r="C1" t="inlineStr">
        <is>
          <t>延迟订单数</t>
        </is>
      </c>
      <c r="D1" t="inlineStr">
        <is>
          <t>订单级延迟率（%）</t>
        </is>
      </c>
      <c r="E1" t="inlineStr">
        <is>
          <t>标注</t>
        </is>
      </c>
    </row>
    <row r="2">
      <c r="A2" t="inlineStr">
        <is>
          <t>2015Q1</t>
        </is>
      </c>
      <c r="B2" t="n">
        <v>5153</v>
      </c>
      <c r="C2" t="n">
        <v>2812</v>
      </c>
      <c r="D2" t="n">
        <v>54.57</v>
      </c>
      <c r="E2" t="inlineStr"/>
    </row>
    <row r="3">
      <c r="A3" t="inlineStr">
        <is>
          <t>2015Q2</t>
        </is>
      </c>
      <c r="B3" t="n">
        <v>5211</v>
      </c>
      <c r="C3" t="n">
        <v>2837</v>
      </c>
      <c r="D3" t="n">
        <v>54.44</v>
      </c>
      <c r="E3" t="inlineStr"/>
    </row>
    <row r="4">
      <c r="A4" t="inlineStr">
        <is>
          <t>2015Q3</t>
        </is>
      </c>
      <c r="B4" t="n">
        <v>5231</v>
      </c>
      <c r="C4" t="n">
        <v>2880</v>
      </c>
      <c r="D4" t="n">
        <v>55.06</v>
      </c>
      <c r="E4" t="inlineStr"/>
    </row>
    <row r="5">
      <c r="A5" t="inlineStr">
        <is>
          <t>2015Q4</t>
        </is>
      </c>
      <c r="B5" t="n">
        <v>5309</v>
      </c>
      <c r="C5" t="n">
        <v>2902</v>
      </c>
      <c r="D5" t="n">
        <v>54.66</v>
      </c>
      <c r="E5" t="inlineStr"/>
    </row>
    <row r="6">
      <c r="A6" t="inlineStr">
        <is>
          <t>2016Q1</t>
        </is>
      </c>
      <c r="B6" t="n">
        <v>5186</v>
      </c>
      <c r="C6" t="n">
        <v>2878</v>
      </c>
      <c r="D6" t="n">
        <v>55.5</v>
      </c>
      <c r="E6" t="inlineStr"/>
    </row>
    <row r="7">
      <c r="A7" t="inlineStr">
        <is>
          <t>2016Q2</t>
        </is>
      </c>
      <c r="B7" t="n">
        <v>5159</v>
      </c>
      <c r="C7" t="n">
        <v>2864</v>
      </c>
      <c r="D7" t="n">
        <v>55.51</v>
      </c>
      <c r="E7" t="inlineStr"/>
    </row>
    <row r="8">
      <c r="A8" t="inlineStr">
        <is>
          <t>2016Q3</t>
        </is>
      </c>
      <c r="B8" t="n">
        <v>5254</v>
      </c>
      <c r="C8" t="n">
        <v>2854</v>
      </c>
      <c r="D8" t="n">
        <v>54.32</v>
      </c>
      <c r="E8" t="inlineStr"/>
    </row>
    <row r="9">
      <c r="A9" t="inlineStr">
        <is>
          <t>2016Q4</t>
        </is>
      </c>
      <c r="B9" t="n">
        <v>5260</v>
      </c>
      <c r="C9" t="n">
        <v>2901</v>
      </c>
      <c r="D9" t="n">
        <v>55.15</v>
      </c>
      <c r="E9" t="inlineStr"/>
    </row>
    <row r="10">
      <c r="A10" t="inlineStr">
        <is>
          <t>2017Q1</t>
        </is>
      </c>
      <c r="B10" t="n">
        <v>5141</v>
      </c>
      <c r="C10" t="n">
        <v>2803</v>
      </c>
      <c r="D10" t="n">
        <v>54.52</v>
      </c>
      <c r="E10" t="inlineStr"/>
    </row>
    <row r="11">
      <c r="A11" t="inlineStr">
        <is>
          <t>2017Q2</t>
        </is>
      </c>
      <c r="B11" t="n">
        <v>5178</v>
      </c>
      <c r="C11" t="n">
        <v>2793</v>
      </c>
      <c r="D11" t="n">
        <v>53.94</v>
      </c>
      <c r="E11" t="inlineStr"/>
    </row>
    <row r="12">
      <c r="A12" t="inlineStr">
        <is>
          <t>2017Q3</t>
        </is>
      </c>
      <c r="B12" t="n">
        <v>5267</v>
      </c>
      <c r="C12" t="n">
        <v>2888</v>
      </c>
      <c r="D12" t="n">
        <v>54.83</v>
      </c>
      <c r="E12" t="inlineStr"/>
    </row>
    <row r="13">
      <c r="A13" t="inlineStr">
        <is>
          <t>2017Q4</t>
        </is>
      </c>
      <c r="B13" t="n">
        <v>6280</v>
      </c>
      <c r="C13" t="n">
        <v>3441</v>
      </c>
      <c r="D13" t="n">
        <v>54.79</v>
      </c>
      <c r="E13" t="inlineStr">
        <is>
          <t>记录结构断点：2017-10 起每单行数由约 3 降为 1，不可解读为需求增长</t>
        </is>
      </c>
    </row>
    <row r="16">
      <c r="A16" t="inlineStr">
        <is>
          <t>月度记录结构（SQL 与 pandas 一致）</t>
        </is>
      </c>
    </row>
    <row r="17">
      <c r="A17" t="inlineStr">
        <is>
          <t>月份</t>
        </is>
      </c>
      <c r="B17" t="inlineStr">
        <is>
          <t>行数</t>
        </is>
      </c>
      <c r="C17" t="inlineStr">
        <is>
          <t>订单数</t>
        </is>
      </c>
      <c r="D17" t="inlineStr">
        <is>
          <t>每单行数</t>
        </is>
      </c>
    </row>
    <row r="18">
      <c r="A18" t="inlineStr">
        <is>
          <t>2015-01</t>
        </is>
      </c>
      <c r="B18" t="n">
        <v>5322</v>
      </c>
      <c r="C18" t="n">
        <v>1787</v>
      </c>
      <c r="D18" t="n">
        <v>2.98</v>
      </c>
    </row>
    <row r="19">
      <c r="A19" t="inlineStr">
        <is>
          <t>2015-02</t>
        </is>
      </c>
      <c r="B19" t="n">
        <v>4729</v>
      </c>
      <c r="C19" t="n">
        <v>1585</v>
      </c>
      <c r="D19" t="n">
        <v>2.98</v>
      </c>
    </row>
    <row r="20">
      <c r="A20" t="inlineStr">
        <is>
          <t>2015-03</t>
        </is>
      </c>
      <c r="B20" t="n">
        <v>5362</v>
      </c>
      <c r="C20" t="n">
        <v>1781</v>
      </c>
      <c r="D20" t="n">
        <v>3.01</v>
      </c>
    </row>
    <row r="21">
      <c r="A21" t="inlineStr">
        <is>
          <t>2015-04</t>
        </is>
      </c>
      <c r="B21" t="n">
        <v>5126</v>
      </c>
      <c r="C21" t="n">
        <v>1710</v>
      </c>
      <c r="D21" t="n">
        <v>3</v>
      </c>
    </row>
    <row r="22">
      <c r="A22" t="inlineStr">
        <is>
          <t>2015-05</t>
        </is>
      </c>
      <c r="B22" t="n">
        <v>5357</v>
      </c>
      <c r="C22" t="n">
        <v>1776</v>
      </c>
      <c r="D22" t="n">
        <v>3.02</v>
      </c>
    </row>
    <row r="23">
      <c r="A23" t="inlineStr">
        <is>
          <t>2015-06</t>
        </is>
      </c>
      <c r="B23" t="n">
        <v>5134</v>
      </c>
      <c r="C23" t="n">
        <v>1725</v>
      </c>
      <c r="D23" t="n">
        <v>2.98</v>
      </c>
    </row>
    <row r="24">
      <c r="A24" t="inlineStr">
        <is>
          <t>2015-07</t>
        </is>
      </c>
      <c r="B24" t="n">
        <v>5299</v>
      </c>
      <c r="C24" t="n">
        <v>1763</v>
      </c>
      <c r="D24" t="n">
        <v>3.01</v>
      </c>
    </row>
    <row r="25">
      <c r="A25" t="inlineStr">
        <is>
          <t>2015-08</t>
        </is>
      </c>
      <c r="B25" t="n">
        <v>5273</v>
      </c>
      <c r="C25" t="n">
        <v>1762</v>
      </c>
      <c r="D25" t="n">
        <v>2.99</v>
      </c>
    </row>
    <row r="26">
      <c r="A26" t="inlineStr">
        <is>
          <t>2015-09</t>
        </is>
      </c>
      <c r="B26" t="n">
        <v>5140</v>
      </c>
      <c r="C26" t="n">
        <v>1706</v>
      </c>
      <c r="D26" t="n">
        <v>3.01</v>
      </c>
    </row>
    <row r="27">
      <c r="A27" t="inlineStr">
        <is>
          <t>2015-10</t>
        </is>
      </c>
      <c r="B27" t="n">
        <v>5302</v>
      </c>
      <c r="C27" t="n">
        <v>1775</v>
      </c>
      <c r="D27" t="n">
        <v>2.99</v>
      </c>
    </row>
    <row r="28">
      <c r="A28" t="inlineStr">
        <is>
          <t>2015-11</t>
        </is>
      </c>
      <c r="B28" t="n">
        <v>5235</v>
      </c>
      <c r="C28" t="n">
        <v>1729</v>
      </c>
      <c r="D28" t="n">
        <v>3.03</v>
      </c>
    </row>
    <row r="29">
      <c r="A29" t="inlineStr">
        <is>
          <t>2015-12</t>
        </is>
      </c>
      <c r="B29" t="n">
        <v>5371</v>
      </c>
      <c r="C29" t="n">
        <v>1805</v>
      </c>
      <c r="D29" t="n">
        <v>2.98</v>
      </c>
    </row>
    <row r="30">
      <c r="A30" t="inlineStr">
        <is>
          <t>2016-01</t>
        </is>
      </c>
      <c r="B30" t="n">
        <v>5317</v>
      </c>
      <c r="C30" t="n">
        <v>1772</v>
      </c>
      <c r="D30" t="n">
        <v>3</v>
      </c>
    </row>
    <row r="31">
      <c r="A31" t="inlineStr">
        <is>
          <t>2016-02</t>
        </is>
      </c>
      <c r="B31" t="n">
        <v>4894</v>
      </c>
      <c r="C31" t="n">
        <v>1650</v>
      </c>
      <c r="D31" t="n">
        <v>2.97</v>
      </c>
    </row>
    <row r="32">
      <c r="A32" t="inlineStr">
        <is>
          <t>2016-03</t>
        </is>
      </c>
      <c r="B32" t="n">
        <v>5210</v>
      </c>
      <c r="C32" t="n">
        <v>1764</v>
      </c>
      <c r="D32" t="n">
        <v>2.95</v>
      </c>
    </row>
    <row r="33">
      <c r="A33" t="inlineStr">
        <is>
          <t>2016-04</t>
        </is>
      </c>
      <c r="B33" t="n">
        <v>5097</v>
      </c>
      <c r="C33" t="n">
        <v>1706</v>
      </c>
      <c r="D33" t="n">
        <v>2.99</v>
      </c>
    </row>
    <row r="34">
      <c r="A34" t="inlineStr">
        <is>
          <t>2016-05</t>
        </is>
      </c>
      <c r="B34" t="n">
        <v>5302</v>
      </c>
      <c r="C34" t="n">
        <v>1763</v>
      </c>
      <c r="D34" t="n">
        <v>3.01</v>
      </c>
    </row>
    <row r="35">
      <c r="A35" t="inlineStr">
        <is>
          <t>2016-06</t>
        </is>
      </c>
      <c r="B35" t="n">
        <v>5054</v>
      </c>
      <c r="C35" t="n">
        <v>1690</v>
      </c>
      <c r="D35" t="n">
        <v>2.99</v>
      </c>
    </row>
    <row r="36">
      <c r="A36" t="inlineStr">
        <is>
          <t>2016-07</t>
        </is>
      </c>
      <c r="B36" t="n">
        <v>5305</v>
      </c>
      <c r="C36" t="n">
        <v>1758</v>
      </c>
      <c r="D36" t="n">
        <v>3.02</v>
      </c>
    </row>
    <row r="37">
      <c r="A37" t="inlineStr">
        <is>
          <t>2016-08</t>
        </is>
      </c>
      <c r="B37" t="n">
        <v>5334</v>
      </c>
      <c r="C37" t="n">
        <v>1766</v>
      </c>
      <c r="D37" t="n">
        <v>3.02</v>
      </c>
    </row>
    <row r="38">
      <c r="A38" t="inlineStr">
        <is>
          <t>2016-09</t>
        </is>
      </c>
      <c r="B38" t="n">
        <v>5160</v>
      </c>
      <c r="C38" t="n">
        <v>1730</v>
      </c>
      <c r="D38" t="n">
        <v>2.98</v>
      </c>
    </row>
    <row r="39">
      <c r="A39" t="inlineStr">
        <is>
          <t>2016-10</t>
        </is>
      </c>
      <c r="B39" t="n">
        <v>5398</v>
      </c>
      <c r="C39" t="n">
        <v>1776</v>
      </c>
      <c r="D39" t="n">
        <v>3.04</v>
      </c>
    </row>
    <row r="40">
      <c r="A40" t="inlineStr">
        <is>
          <t>2016-11</t>
        </is>
      </c>
      <c r="B40" t="n">
        <v>5210</v>
      </c>
      <c r="C40" t="n">
        <v>1721</v>
      </c>
      <c r="D40" t="n">
        <v>3.03</v>
      </c>
    </row>
    <row r="41">
      <c r="A41" t="inlineStr">
        <is>
          <t>2016-12</t>
        </is>
      </c>
      <c r="B41" t="n">
        <v>5269</v>
      </c>
      <c r="C41" t="n">
        <v>1763</v>
      </c>
      <c r="D41" t="n">
        <v>2.99</v>
      </c>
    </row>
    <row r="42">
      <c r="A42" t="inlineStr">
        <is>
          <t>2017-01</t>
        </is>
      </c>
      <c r="B42" t="n">
        <v>5217</v>
      </c>
      <c r="C42" t="n">
        <v>1745</v>
      </c>
      <c r="D42" t="n">
        <v>2.99</v>
      </c>
    </row>
    <row r="43">
      <c r="A43" t="inlineStr">
        <is>
          <t>2017-02</t>
        </is>
      </c>
      <c r="B43" t="n">
        <v>4906</v>
      </c>
      <c r="C43" t="n">
        <v>1614</v>
      </c>
      <c r="D43" t="n">
        <v>3.04</v>
      </c>
    </row>
    <row r="44">
      <c r="A44" t="inlineStr">
        <is>
          <t>2017-03</t>
        </is>
      </c>
      <c r="B44" t="n">
        <v>5347</v>
      </c>
      <c r="C44" t="n">
        <v>1782</v>
      </c>
      <c r="D44" t="n">
        <v>3</v>
      </c>
    </row>
    <row r="45">
      <c r="A45" t="inlineStr">
        <is>
          <t>2017-04</t>
        </is>
      </c>
      <c r="B45" t="n">
        <v>5212</v>
      </c>
      <c r="C45" t="n">
        <v>1739</v>
      </c>
      <c r="D45" t="n">
        <v>3</v>
      </c>
    </row>
    <row r="46">
      <c r="A46" t="inlineStr">
        <is>
          <t>2017-05</t>
        </is>
      </c>
      <c r="B46" t="n">
        <v>5317</v>
      </c>
      <c r="C46" t="n">
        <v>1763</v>
      </c>
      <c r="D46" t="n">
        <v>3.02</v>
      </c>
    </row>
    <row r="47">
      <c r="A47" t="inlineStr">
        <is>
          <t>2017-06</t>
        </is>
      </c>
      <c r="B47" t="n">
        <v>4951</v>
      </c>
      <c r="C47" t="n">
        <v>1676</v>
      </c>
      <c r="D47" t="n">
        <v>2.95</v>
      </c>
    </row>
    <row r="48">
      <c r="A48" t="inlineStr">
        <is>
          <t>2017-07</t>
        </is>
      </c>
      <c r="B48" t="n">
        <v>5318</v>
      </c>
      <c r="C48" t="n">
        <v>1776</v>
      </c>
      <c r="D48" t="n">
        <v>2.99</v>
      </c>
    </row>
    <row r="49">
      <c r="A49" t="inlineStr">
        <is>
          <t>2017-08</t>
        </is>
      </c>
      <c r="B49" t="n">
        <v>5305</v>
      </c>
      <c r="C49" t="n">
        <v>1768</v>
      </c>
      <c r="D49" t="n">
        <v>3</v>
      </c>
    </row>
    <row r="50">
      <c r="A50" t="inlineStr">
        <is>
          <t>2017-09</t>
        </is>
      </c>
      <c r="B50" t="n">
        <v>5189</v>
      </c>
      <c r="C50" t="n">
        <v>1723</v>
      </c>
      <c r="D50" t="n">
        <v>3.01</v>
      </c>
    </row>
    <row r="51">
      <c r="A51" t="inlineStr">
        <is>
          <t>2017-10</t>
        </is>
      </c>
      <c r="B51" t="n">
        <v>2255</v>
      </c>
      <c r="C51" t="n">
        <v>2101</v>
      </c>
      <c r="D51" t="n">
        <v>1.07</v>
      </c>
    </row>
    <row r="52">
      <c r="A52" t="inlineStr">
        <is>
          <t>2017-11</t>
        </is>
      </c>
      <c r="B52" t="n">
        <v>2055</v>
      </c>
      <c r="C52" t="n">
        <v>2055</v>
      </c>
      <c r="D52" t="n">
        <v>1</v>
      </c>
    </row>
    <row r="53">
      <c r="A53" t="inlineStr">
        <is>
          <t>2017-12</t>
        </is>
      </c>
      <c r="B53" t="n">
        <v>2124</v>
      </c>
      <c r="C53" t="n">
        <v>2124</v>
      </c>
      <c r="D53" t="n">
        <v>1</v>
      </c>
    </row>
    <row r="54">
      <c r="A54" t="inlineStr">
        <is>
          <t>2018-01</t>
        </is>
      </c>
      <c r="B54" t="n">
        <v>2123</v>
      </c>
      <c r="C54" t="n">
        <v>2123</v>
      </c>
      <c r="D54" t="n">
        <v>1</v>
      </c>
    </row>
    <row r="57">
      <c r="A57" t="inlineStr">
        <is>
          <t>2017Q4 订单数口径（假设，见 metrics.md 第 4 节）</t>
        </is>
      </c>
    </row>
    <row r="58">
      <c r="A58" t="inlineStr">
        <is>
          <t>口径</t>
        </is>
      </c>
      <c r="B58" t="inlineStr">
        <is>
          <t>订单数</t>
        </is>
      </c>
      <c r="C58" t="inlineStr">
        <is>
          <t>说明</t>
        </is>
      </c>
    </row>
    <row r="59">
      <c r="A59" t="inlineStr">
        <is>
          <t>记录值</t>
        </is>
      </c>
      <c r="B59" t="n">
        <v>6280</v>
      </c>
      <c r="C59" t="inlineStr">
        <is>
          <t>记录值（不调整）</t>
        </is>
      </c>
    </row>
    <row r="60">
      <c r="A60" t="inlineStr">
        <is>
          <t>假设A</t>
        </is>
      </c>
      <c r="B60" t="n">
        <v>5195</v>
      </c>
      <c r="C60" t="inlineStr">
        <is>
          <t>假设 A：与 2017Q1–Q3 平均持平</t>
        </is>
      </c>
    </row>
    <row r="61">
      <c r="A61" t="inlineStr">
        <is>
          <t>假设B</t>
        </is>
      </c>
      <c r="B61" t="n">
        <v>2146</v>
      </c>
      <c r="C61" t="inlineStr">
        <is>
          <t>假设 B：行数 6,434 ÷ 前期每单行数 2.999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6" max="6"/>
  </cols>
  <sheetData>
    <row r="1">
      <c r="A1" t="inlineStr">
        <is>
          <t>品类（断点前 2015-01 至 2017-09）</t>
        </is>
      </c>
      <c r="B1" t="inlineStr">
        <is>
          <t>含该品类订单数</t>
        </is>
      </c>
      <c r="C1" t="inlineStr">
        <is>
          <t>销售额</t>
        </is>
      </c>
      <c r="D1" t="inlineStr">
        <is>
          <t>延迟订单数</t>
        </is>
      </c>
      <c r="E1" t="inlineStr">
        <is>
          <t>订单级延迟率（%）</t>
        </is>
      </c>
      <c r="F1" t="inlineStr">
        <is>
          <t>图表标签</t>
        </is>
      </c>
    </row>
    <row r="2">
      <c r="A2" t="inlineStr">
        <is>
          <t>Fishing</t>
        </is>
      </c>
      <c r="B2" t="n">
        <v>15148</v>
      </c>
      <c r="C2" t="n">
        <v>6922854.03</v>
      </c>
      <c r="D2" t="n">
        <v>8322</v>
      </c>
      <c r="E2" t="n">
        <v>54.94</v>
      </c>
      <c r="F2" t="inlineStr">
        <is>
          <t>Fishing（15,148）</t>
        </is>
      </c>
    </row>
    <row r="3">
      <c r="A3" t="inlineStr">
        <is>
          <t>Cleats</t>
        </is>
      </c>
      <c r="B3" t="n">
        <v>20356</v>
      </c>
      <c r="C3" t="n">
        <v>4424743.98</v>
      </c>
      <c r="D3" t="n">
        <v>11215</v>
      </c>
      <c r="E3" t="n">
        <v>55.09</v>
      </c>
      <c r="F3" t="inlineStr">
        <is>
          <t>Cleats（20,356）</t>
        </is>
      </c>
    </row>
    <row r="4">
      <c r="A4" t="inlineStr">
        <is>
          <t>Camping &amp; Hiking</t>
        </is>
      </c>
      <c r="B4" t="n">
        <v>12286</v>
      </c>
      <c r="C4" t="n">
        <v>4113925.87</v>
      </c>
      <c r="D4" t="n">
        <v>6714</v>
      </c>
      <c r="E4" t="n">
        <v>54.65</v>
      </c>
      <c r="F4" t="inlineStr">
        <is>
          <t>Camping &amp; Hiking（12,286）</t>
        </is>
      </c>
    </row>
    <row r="5">
      <c r="A5" t="inlineStr">
        <is>
          <t>Cardio Equipment</t>
        </is>
      </c>
      <c r="B5" t="n">
        <v>11335</v>
      </c>
      <c r="C5" t="n">
        <v>3688443.84</v>
      </c>
      <c r="D5" t="n">
        <v>6197</v>
      </c>
      <c r="E5" t="n">
        <v>54.67</v>
      </c>
      <c r="F5" t="inlineStr">
        <is>
          <t>Cardio Equipment（11,335）</t>
        </is>
      </c>
    </row>
    <row r="6">
      <c r="A6" t="inlineStr">
        <is>
          <t>Women's Apparel</t>
        </is>
      </c>
      <c r="B6" t="n">
        <v>17844</v>
      </c>
      <c r="C6" t="n">
        <v>3143900</v>
      </c>
      <c r="D6" t="n">
        <v>9710</v>
      </c>
      <c r="E6" t="n">
        <v>54.42</v>
      </c>
      <c r="F6" t="inlineStr">
        <is>
          <t>Women's Apparel（17,844）</t>
        </is>
      </c>
    </row>
    <row r="7">
      <c r="A7" t="inlineStr">
        <is>
          <t>Water Sports</t>
        </is>
      </c>
      <c r="B7" t="n">
        <v>13736</v>
      </c>
      <c r="C7" t="n">
        <v>3108844.93</v>
      </c>
      <c r="D7" t="n">
        <v>7560</v>
      </c>
      <c r="E7" t="n">
        <v>55.04</v>
      </c>
      <c r="F7" t="inlineStr">
        <is>
          <t>Water Sports（13,736）</t>
        </is>
      </c>
    </row>
    <row r="8">
      <c r="A8" t="inlineStr">
        <is>
          <t>Men's Footwear</t>
        </is>
      </c>
      <c r="B8" t="n">
        <v>18754</v>
      </c>
      <c r="C8" t="n">
        <v>2887597.98</v>
      </c>
      <c r="D8" t="n">
        <v>10235</v>
      </c>
      <c r="E8" t="n">
        <v>54.58</v>
      </c>
      <c r="F8" t="inlineStr">
        <is>
          <t>Men's Footwear（18,754）</t>
        </is>
      </c>
    </row>
    <row r="9">
      <c r="A9" t="inlineStr">
        <is>
          <t>Indoor/Outdoor Games</t>
        </is>
      </c>
      <c r="B9" t="n">
        <v>16603</v>
      </c>
      <c r="C9" t="n">
        <v>2885595.27</v>
      </c>
      <c r="D9" t="n">
        <v>9099</v>
      </c>
      <c r="E9" t="n">
        <v>54.8</v>
      </c>
      <c r="F9" t="inlineStr">
        <is>
          <t>Indoor/Outdoor Games（16,603）</t>
        </is>
      </c>
    </row>
    <row r="10">
      <c r="A10" t="inlineStr">
        <is>
          <t>Shop By Sport</t>
        </is>
      </c>
      <c r="B10" t="n">
        <v>10127</v>
      </c>
      <c r="C10" t="n">
        <v>1308522.29</v>
      </c>
      <c r="D10" t="n">
        <v>5577</v>
      </c>
      <c r="E10" t="n">
        <v>55.07</v>
      </c>
      <c r="F10" t="inlineStr">
        <is>
          <t>Shop By Sport（10,127）</t>
        </is>
      </c>
    </row>
    <row r="11">
      <c r="A11" t="inlineStr">
        <is>
          <t>Electronics</t>
        </is>
      </c>
      <c r="B11" t="n">
        <v>3061</v>
      </c>
      <c r="C11" t="n">
        <v>371034.64</v>
      </c>
      <c r="D11" t="n">
        <v>1711</v>
      </c>
      <c r="E11" t="n">
        <v>55.9</v>
      </c>
      <c r="F11" t="inlineStr">
        <is>
          <t>Electronics（3,061）</t>
        </is>
      </c>
    </row>
    <row r="12">
      <c r="A12" t="inlineStr">
        <is>
          <t>Girls' Apparel</t>
        </is>
      </c>
      <c r="B12" t="n">
        <v>1191</v>
      </c>
      <c r="C12" t="n">
        <v>151706.2</v>
      </c>
      <c r="D12" t="n">
        <v>659</v>
      </c>
      <c r="E12" t="n">
        <v>55.33</v>
      </c>
      <c r="F12" t="inlineStr">
        <is>
          <t>Girls' Apparel（1,191）</t>
        </is>
      </c>
    </row>
    <row r="13">
      <c r="A13" t="inlineStr">
        <is>
          <t>Accessories</t>
        </is>
      </c>
      <c r="B13" t="n">
        <v>1753</v>
      </c>
      <c r="C13" t="n">
        <v>133671.51</v>
      </c>
      <c r="D13" t="n">
        <v>999</v>
      </c>
      <c r="E13" t="n">
        <v>56.99</v>
      </c>
      <c r="F13" t="inlineStr">
        <is>
          <t>Accessories（1,753）</t>
        </is>
      </c>
    </row>
    <row r="14">
      <c r="A14" t="inlineStr">
        <is>
          <t>Golf Gloves</t>
        </is>
      </c>
      <c r="B14" t="n">
        <v>1064</v>
      </c>
      <c r="C14" t="n">
        <v>116695.39</v>
      </c>
      <c r="D14" t="n">
        <v>598</v>
      </c>
      <c r="E14" t="n">
        <v>56.2</v>
      </c>
      <c r="F14" t="inlineStr">
        <is>
          <t>Golf Gloves（1,064）</t>
        </is>
      </c>
    </row>
    <row r="15">
      <c r="A15" t="inlineStr">
        <is>
          <t>Golf Shoes</t>
        </is>
      </c>
      <c r="B15" t="n">
        <v>523</v>
      </c>
      <c r="C15" t="n">
        <v>107998</v>
      </c>
      <c r="D15" t="n">
        <v>291</v>
      </c>
      <c r="E15" t="n">
        <v>55.64</v>
      </c>
      <c r="F15" t="inlineStr">
        <is>
          <t>Golf Shoes（523）</t>
        </is>
      </c>
    </row>
    <row r="16">
      <c r="A16" t="inlineStr">
        <is>
          <t>Kids' Golf Clubs</t>
        </is>
      </c>
      <c r="B16" t="n">
        <v>368</v>
      </c>
      <c r="C16" t="n">
        <v>94597.64999999999</v>
      </c>
      <c r="D16" t="n">
        <v>196</v>
      </c>
      <c r="E16" t="n">
        <v>53.26</v>
      </c>
      <c r="F16" t="inlineStr">
        <is>
          <t>Kids' Golf Clubs（368）</t>
        </is>
      </c>
    </row>
    <row r="17">
      <c r="A17" t="inlineStr">
        <is>
          <t>Baseball &amp; Softball</t>
        </is>
      </c>
      <c r="B17" t="n">
        <v>628</v>
      </c>
      <c r="C17" t="n">
        <v>94057.14999999999</v>
      </c>
      <c r="D17" t="n">
        <v>347</v>
      </c>
      <c r="E17" t="n">
        <v>55.25</v>
      </c>
      <c r="F17" t="inlineStr">
        <is>
          <t>Baseball &amp; Softball（628）</t>
        </is>
      </c>
    </row>
    <row r="18">
      <c r="A18" t="inlineStr">
        <is>
          <t>Boxing &amp; MMA</t>
        </is>
      </c>
      <c r="B18" t="n">
        <v>421</v>
      </c>
      <c r="C18" t="n">
        <v>85205.41</v>
      </c>
      <c r="D18" t="n">
        <v>237</v>
      </c>
      <c r="E18" t="n">
        <v>56.29</v>
      </c>
      <c r="F18" t="inlineStr">
        <is>
          <t>Boxing &amp; MMA（421）</t>
        </is>
      </c>
    </row>
    <row r="19">
      <c r="A19" t="inlineStr">
        <is>
          <t>Golf Balls</t>
        </is>
      </c>
      <c r="B19" t="n">
        <v>1444</v>
      </c>
      <c r="C19" t="n">
        <v>77098.16</v>
      </c>
      <c r="D19" t="n">
        <v>787</v>
      </c>
      <c r="E19" t="n">
        <v>54.5</v>
      </c>
      <c r="F19" t="inlineStr">
        <is>
          <t>Golf Balls（1,444）</t>
        </is>
      </c>
    </row>
    <row r="20">
      <c r="A20" t="inlineStr">
        <is>
          <t>Trade-In</t>
        </is>
      </c>
      <c r="B20" t="n">
        <v>964</v>
      </c>
      <c r="C20" t="n">
        <v>68721.78</v>
      </c>
      <c r="D20" t="n">
        <v>534</v>
      </c>
      <c r="E20" t="n">
        <v>55.39</v>
      </c>
      <c r="F20" t="inlineStr">
        <is>
          <t>Trade-In（964）</t>
        </is>
      </c>
    </row>
    <row r="21">
      <c r="A21" t="inlineStr">
        <is>
          <t>Hunting &amp; Shooting</t>
        </is>
      </c>
      <c r="B21" t="n">
        <v>436</v>
      </c>
      <c r="C21" t="n">
        <v>56848.42</v>
      </c>
      <c r="D21" t="n">
        <v>245</v>
      </c>
      <c r="E21" t="n">
        <v>56.19</v>
      </c>
      <c r="F21" t="inlineStr">
        <is>
          <t>Hunting &amp; Shooting（436）</t>
        </is>
      </c>
    </row>
    <row r="22">
      <c r="A22" t="inlineStr">
        <is>
          <t>Hockey</t>
        </is>
      </c>
      <c r="B22" t="n">
        <v>609</v>
      </c>
      <c r="C22" t="n">
        <v>48360.73</v>
      </c>
      <c r="D22" t="n">
        <v>327</v>
      </c>
      <c r="E22" t="n">
        <v>53.69</v>
      </c>
      <c r="F22" t="inlineStr">
        <is>
          <t>Hockey（609）</t>
        </is>
      </c>
    </row>
    <row r="23">
      <c r="A23" t="inlineStr">
        <is>
          <t>Men's Golf Clubs</t>
        </is>
      </c>
      <c r="B23" t="n">
        <v>280</v>
      </c>
      <c r="C23" t="n">
        <v>47035.8</v>
      </c>
      <c r="D23" t="n">
        <v>135</v>
      </c>
      <c r="E23" t="n">
        <v>48.21</v>
      </c>
      <c r="F23" t="inlineStr">
        <is>
          <t>Men's Golf Clubs（280）</t>
        </is>
      </c>
    </row>
    <row r="24">
      <c r="A24" t="inlineStr">
        <is>
          <t>Tennis &amp; Racquet</t>
        </is>
      </c>
      <c r="B24" t="n">
        <v>327</v>
      </c>
      <c r="C24" t="n">
        <v>44585.09</v>
      </c>
      <c r="D24" t="n">
        <v>182</v>
      </c>
      <c r="E24" t="n">
        <v>55.66</v>
      </c>
      <c r="F24" t="inlineStr">
        <is>
          <t>Tennis &amp; Racquet（327）</t>
        </is>
      </c>
    </row>
    <row r="25">
      <c r="A25" t="inlineStr">
        <is>
          <t>Women's Golf Clubs</t>
        </is>
      </c>
      <c r="B25" t="n">
        <v>181</v>
      </c>
      <c r="C25" t="n">
        <v>44545.97</v>
      </c>
      <c r="D25" t="n">
        <v>97</v>
      </c>
      <c r="E25" t="n">
        <v>53.59</v>
      </c>
      <c r="F25" t="inlineStr">
        <is>
          <t>Women's Golf Clubs（181）</t>
        </is>
      </c>
    </row>
    <row r="26">
      <c r="A26" t="inlineStr">
        <is>
          <t>Lacrosse</t>
        </is>
      </c>
      <c r="B26" t="n">
        <v>341</v>
      </c>
      <c r="C26" t="n">
        <v>39464.79</v>
      </c>
      <c r="D26" t="n">
        <v>205</v>
      </c>
      <c r="E26" t="n">
        <v>60.12</v>
      </c>
      <c r="F26" t="inlineStr">
        <is>
          <t>Lacrosse（341）</t>
        </is>
      </c>
    </row>
    <row r="27">
      <c r="A27" t="inlineStr">
        <is>
          <t>Strength Training</t>
        </is>
      </c>
      <c r="B27" t="n">
        <v>102</v>
      </c>
      <c r="C27" t="n">
        <v>36895.62</v>
      </c>
      <c r="D27" t="n">
        <v>60</v>
      </c>
      <c r="E27" t="n">
        <v>58.82</v>
      </c>
      <c r="F27" t="inlineStr">
        <is>
          <t>Strength Training（102）</t>
        </is>
      </c>
    </row>
    <row r="28">
      <c r="A28" t="inlineStr">
        <is>
          <t>Golf Apparel</t>
        </is>
      </c>
      <c r="B28" t="n">
        <v>440</v>
      </c>
      <c r="C28" t="n">
        <v>34969.75</v>
      </c>
      <c r="D28" t="n">
        <v>229</v>
      </c>
      <c r="E28" t="n">
        <v>52.05</v>
      </c>
      <c r="F28" t="inlineStr">
        <is>
          <t>Golf Apparel（440）</t>
        </is>
      </c>
    </row>
    <row r="29">
      <c r="A29" t="inlineStr">
        <is>
          <t>Fitness Accessories</t>
        </is>
      </c>
      <c r="B29" t="n">
        <v>304</v>
      </c>
      <c r="C29" t="n">
        <v>33801.47</v>
      </c>
      <c r="D29" t="n">
        <v>173</v>
      </c>
      <c r="E29" t="n">
        <v>56.91</v>
      </c>
      <c r="F29" t="inlineStr">
        <is>
          <t>Fitness Accessories（304）</t>
        </is>
      </c>
    </row>
    <row r="30">
      <c r="A30" t="inlineStr">
        <is>
          <t>Soccer</t>
        </is>
      </c>
      <c r="B30" t="n">
        <v>136</v>
      </c>
      <c r="C30" t="n">
        <v>26477.05</v>
      </c>
      <c r="D30" t="n">
        <v>74</v>
      </c>
      <c r="E30" t="n">
        <v>54.41</v>
      </c>
      <c r="F30" t="inlineStr">
        <is>
          <t>Soccer（136）</t>
        </is>
      </c>
    </row>
    <row r="31">
      <c r="A31" t="inlineStr">
        <is>
          <t>As Seen on  TV!</t>
        </is>
      </c>
      <c r="B31" t="n">
        <v>68</v>
      </c>
      <c r="C31" t="n">
        <v>20597.94</v>
      </c>
      <c r="D31" t="n">
        <v>39</v>
      </c>
      <c r="E31" t="n">
        <v>57.35</v>
      </c>
      <c r="F31" t="inlineStr">
        <is>
          <t>As Seen on  TV!（68）</t>
        </is>
      </c>
    </row>
    <row r="32">
      <c r="A32" t="inlineStr">
        <is>
          <t>Basketball</t>
        </is>
      </c>
      <c r="B32" t="n">
        <v>56</v>
      </c>
      <c r="C32" t="n">
        <v>19099.41</v>
      </c>
      <c r="D32" t="n">
        <v>30</v>
      </c>
      <c r="E32" t="n">
        <v>53.57</v>
      </c>
      <c r="F32" t="inlineStr">
        <is>
          <t>Basketball（56）</t>
        </is>
      </c>
    </row>
    <row r="33">
      <c r="A33" t="inlineStr">
        <is>
          <t>Golf Bags &amp; Carts</t>
        </is>
      </c>
      <c r="B33" t="n">
        <v>61</v>
      </c>
      <c r="C33" t="n">
        <v>10369.39</v>
      </c>
      <c r="D33" t="n">
        <v>42</v>
      </c>
      <c r="E33" t="n">
        <v>68.84999999999999</v>
      </c>
      <c r="F33" t="inlineStr">
        <is>
          <t>Golf Bags &amp; Carts（61）</t>
        </is>
      </c>
    </row>
    <row r="35">
      <c r="A35" t="inlineStr">
        <is>
          <t>注：一单可含多个品类，品类订单数加总大于窗口内订单数（57,349）。</t>
        </is>
      </c>
    </row>
    <row r="36">
      <c r="A36" t="inlineStr">
        <is>
          <t>总体订单级延迟率（窗口内）：54.77%（57,349 单，31,412 单延迟），作为对照。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24" customWidth="1" min="4" max="4"/>
    <col width="24" customWidth="1" min="5" max="5"/>
    <col width="20" customWidth="1" min="6" max="6"/>
  </cols>
  <sheetData>
    <row r="1">
      <c r="A1" s="2" t="inlineStr">
        <is>
          <t>1. 两段对比（pandas 复算，与 SQL 一致）</t>
        </is>
      </c>
    </row>
    <row r="2">
      <c r="A2" s="2" t="inlineStr">
        <is>
          <t>指标</t>
        </is>
      </c>
      <c r="B2" s="2" t="inlineStr">
        <is>
          <t>断点前 2015-01–2017-09</t>
        </is>
      </c>
      <c r="C2" s="2" t="inlineStr">
        <is>
          <t>断点后 2017-10–2018-01</t>
        </is>
      </c>
    </row>
    <row r="3">
      <c r="A3" t="inlineStr">
        <is>
          <t>item_rows</t>
        </is>
      </c>
      <c r="B3" t="n">
        <v>171962</v>
      </c>
      <c r="C3" t="n">
        <v>8557</v>
      </c>
    </row>
    <row r="4">
      <c r="A4" t="inlineStr">
        <is>
          <t>orders</t>
        </is>
      </c>
      <c r="B4" t="n">
        <v>57349</v>
      </c>
      <c r="C4" t="n">
        <v>8403</v>
      </c>
    </row>
    <row r="5">
      <c r="A5" t="inlineStr">
        <is>
          <t>rows_per_order</t>
        </is>
      </c>
      <c r="B5" t="n">
        <v>2.9985</v>
      </c>
      <c r="C5" t="n">
        <v>1.0183</v>
      </c>
    </row>
    <row r="6">
      <c r="A6" t="inlineStr">
        <is>
          <t>customers</t>
        </is>
      </c>
      <c r="B6" t="n">
        <v>12330</v>
      </c>
      <c r="C6" t="n">
        <v>8403</v>
      </c>
    </row>
    <row r="7">
      <c r="A7" t="inlineStr">
        <is>
          <t>orders_per_customer</t>
        </is>
      </c>
      <c r="B7" t="n">
        <v>4.6512</v>
      </c>
      <c r="C7" t="n">
        <v>1</v>
      </c>
    </row>
    <row r="8">
      <c r="A8" t="inlineStr">
        <is>
          <t>markets</t>
        </is>
      </c>
      <c r="B8" t="n">
        <v>5</v>
      </c>
      <c r="C8" t="n">
        <v>2</v>
      </c>
    </row>
    <row r="9">
      <c r="A9" t="inlineStr">
        <is>
          <t>order_countries</t>
        </is>
      </c>
      <c r="B9" t="n">
        <v>164</v>
      </c>
      <c r="C9" t="n">
        <v>40</v>
      </c>
    </row>
    <row r="10">
      <c r="A10" t="inlineStr">
        <is>
          <t>categories</t>
        </is>
      </c>
      <c r="B10" t="n">
        <v>32</v>
      </c>
      <c r="C10" t="n">
        <v>31</v>
      </c>
    </row>
    <row r="11">
      <c r="A11" t="inlineStr">
        <is>
          <t>avg_qty</t>
        </is>
      </c>
      <c r="B11" t="n">
        <v>2.1824</v>
      </c>
      <c r="C11" t="n">
        <v>1.0275</v>
      </c>
    </row>
    <row r="12">
      <c r="A12" t="inlineStr">
        <is>
          <t>avg_unit_price</t>
        </is>
      </c>
      <c r="B12" t="n">
        <v>133.5947</v>
      </c>
      <c r="C12" t="n">
        <v>294.7238</v>
      </c>
    </row>
    <row r="13">
      <c r="A13" t="inlineStr">
        <is>
          <t>avg_sales_per_row</t>
        </is>
      </c>
      <c r="B13" t="n">
        <v>199.1618</v>
      </c>
      <c r="C13" t="n">
        <v>296.4204</v>
      </c>
    </row>
    <row r="14">
      <c r="A14" t="inlineStr">
        <is>
          <t>sales_per_order</t>
        </is>
      </c>
      <c r="B14" t="n">
        <v>597.1903</v>
      </c>
      <c r="C14" t="n">
        <v>301.8528</v>
      </c>
    </row>
    <row r="15">
      <c r="A15" t="inlineStr">
        <is>
          <t>avg_disc_rate</t>
        </is>
      </c>
      <c r="B15" t="n">
        <v>0.1017</v>
      </c>
      <c r="C15" t="n">
        <v>0.1015</v>
      </c>
    </row>
    <row r="16">
      <c r="A16" t="inlineStr">
        <is>
          <t>late_rate_pct</t>
        </is>
      </c>
      <c r="B16" t="n">
        <v>54.7734</v>
      </c>
      <c r="C16" t="n">
        <v>55.1708</v>
      </c>
    </row>
    <row r="17">
      <c r="A17" t="inlineStr">
        <is>
          <t>avg_gap_days</t>
        </is>
      </c>
      <c r="B17" t="n">
        <v>0.5651</v>
      </c>
      <c r="C17" t="n">
        <v>0.5775</v>
      </c>
    </row>
    <row r="18">
      <c r="A18" t="inlineStr">
        <is>
          <t>min_item_id</t>
        </is>
      </c>
      <c r="B18" t="n">
        <v>1</v>
      </c>
      <c r="C18" t="n">
        <v>171963</v>
      </c>
    </row>
    <row r="19">
      <c r="A19" t="inlineStr">
        <is>
          <t>max_item_id</t>
        </is>
      </c>
      <c r="B19" t="n">
        <v>171962</v>
      </c>
      <c r="C19" t="n">
        <v>180519</v>
      </c>
    </row>
    <row r="20">
      <c r="A20" t="inlineStr">
        <is>
          <t>min_order_id</t>
        </is>
      </c>
      <c r="B20" t="n">
        <v>1</v>
      </c>
      <c r="C20" t="n">
        <v>68780</v>
      </c>
    </row>
    <row r="21">
      <c r="A21" t="inlineStr">
        <is>
          <t>max_order_id</t>
        </is>
      </c>
      <c r="B21" t="n">
        <v>68779</v>
      </c>
      <c r="C21" t="n">
        <v>77204</v>
      </c>
    </row>
    <row r="22">
      <c r="A22" t="inlineStr">
        <is>
          <t>id_gaps</t>
        </is>
      </c>
      <c r="B22" t="n">
        <v>11430</v>
      </c>
      <c r="C22" t="n">
        <v>22</v>
      </c>
    </row>
    <row r="23">
      <c r="A23" t="inlineStr">
        <is>
          <t>注：item_rows、avg_qty、sales_per_order、id_gaps 是断点特有；markets、order_countries、categories 的两段差异是并集口径造成的假象，已撤回（break_analysis.md 第 3 节）。</t>
        </is>
      </c>
    </row>
    <row r="25">
      <c r="A25" s="2" t="inlineStr">
        <is>
          <t>2. Q4P 断点后各品类记录值（口径同 Q4，只换窗口）</t>
        </is>
      </c>
    </row>
    <row r="26">
      <c r="A26" s="2" t="inlineStr">
        <is>
          <t>品类</t>
        </is>
      </c>
      <c r="B26" s="2" t="inlineStr">
        <is>
          <t>含该品类订单数</t>
        </is>
      </c>
      <c r="C26" s="2" t="inlineStr">
        <is>
          <t>销售额</t>
        </is>
      </c>
      <c r="D26" s="2" t="inlineStr">
        <is>
          <t>延迟订单数</t>
        </is>
      </c>
      <c r="E26" s="2" t="inlineStr">
        <is>
          <t>订单级延迟率（%）</t>
        </is>
      </c>
    </row>
    <row r="27">
      <c r="A27" t="inlineStr">
        <is>
          <t>Computers</t>
        </is>
      </c>
      <c r="B27" t="n">
        <v>442</v>
      </c>
      <c r="C27" t="n">
        <v>663000</v>
      </c>
      <c r="D27" t="n">
        <v>224</v>
      </c>
      <c r="E27" t="n">
        <v>50.68</v>
      </c>
    </row>
    <row r="28">
      <c r="A28" t="inlineStr">
        <is>
          <t>Cameras</t>
        </is>
      </c>
      <c r="B28" t="n">
        <v>592</v>
      </c>
      <c r="C28" t="n">
        <v>267607.69</v>
      </c>
      <c r="D28" t="n">
        <v>344</v>
      </c>
      <c r="E28" t="n">
        <v>58.11</v>
      </c>
    </row>
    <row r="29">
      <c r="A29" t="inlineStr">
        <is>
          <t>Garden</t>
        </is>
      </c>
      <c r="B29" t="n">
        <v>484</v>
      </c>
      <c r="C29" t="n">
        <v>257768.73</v>
      </c>
      <c r="D29" t="n">
        <v>270</v>
      </c>
      <c r="E29" t="n">
        <v>55.79</v>
      </c>
    </row>
    <row r="30">
      <c r="A30" t="inlineStr">
        <is>
          <t>Children's Clothing</t>
        </is>
      </c>
      <c r="B30" t="n">
        <v>652</v>
      </c>
      <c r="C30" t="n">
        <v>232829.2</v>
      </c>
      <c r="D30" t="n">
        <v>348</v>
      </c>
      <c r="E30" t="n">
        <v>53.37</v>
      </c>
    </row>
    <row r="31">
      <c r="A31" t="inlineStr">
        <is>
          <t>Crafts</t>
        </is>
      </c>
      <c r="B31" t="n">
        <v>484</v>
      </c>
      <c r="C31" t="n">
        <v>223356.33</v>
      </c>
      <c r="D31" t="n">
        <v>271</v>
      </c>
      <c r="E31" t="n">
        <v>55.99</v>
      </c>
    </row>
    <row r="32">
      <c r="A32" t="inlineStr">
        <is>
          <t>Women's Clothing</t>
        </is>
      </c>
      <c r="B32" t="n">
        <v>650</v>
      </c>
      <c r="C32" t="n">
        <v>140283</v>
      </c>
      <c r="D32" t="n">
        <v>367</v>
      </c>
      <c r="E32" t="n">
        <v>56.46</v>
      </c>
    </row>
    <row r="33">
      <c r="A33" t="inlineStr">
        <is>
          <t>Sporting Goods</t>
        </is>
      </c>
      <c r="B33" t="n">
        <v>357</v>
      </c>
      <c r="C33" t="n">
        <v>117006.75</v>
      </c>
      <c r="D33" t="n">
        <v>198</v>
      </c>
      <c r="E33" t="n">
        <v>55.46</v>
      </c>
    </row>
    <row r="34">
      <c r="A34" t="inlineStr">
        <is>
          <t>Music</t>
        </is>
      </c>
      <c r="B34" t="n">
        <v>434</v>
      </c>
      <c r="C34" t="n">
        <v>113122.1</v>
      </c>
      <c r="D34" t="n">
        <v>248</v>
      </c>
      <c r="E34" t="n">
        <v>57.14</v>
      </c>
    </row>
    <row r="35">
      <c r="A35" t="inlineStr">
        <is>
          <t>Consumer Electronics</t>
        </is>
      </c>
      <c r="B35" t="n">
        <v>431</v>
      </c>
      <c r="C35" t="n">
        <v>108991.28</v>
      </c>
      <c r="D35" t="n">
        <v>238</v>
      </c>
      <c r="E35" t="n">
        <v>55.22</v>
      </c>
    </row>
    <row r="36">
      <c r="A36" t="inlineStr">
        <is>
          <t>Health and Beauty</t>
        </is>
      </c>
      <c r="B36" t="n">
        <v>362</v>
      </c>
      <c r="C36" t="n">
        <v>106080.48</v>
      </c>
      <c r="D36" t="n">
        <v>202</v>
      </c>
      <c r="E36" t="n">
        <v>55.8</v>
      </c>
    </row>
    <row r="37">
      <c r="A37" t="inlineStr">
        <is>
          <t>DVDs</t>
        </is>
      </c>
      <c r="B37" t="n">
        <v>483</v>
      </c>
      <c r="C37" t="n">
        <v>79395.53999999999</v>
      </c>
      <c r="D37" t="n">
        <v>259</v>
      </c>
      <c r="E37" t="n">
        <v>53.62</v>
      </c>
    </row>
    <row r="38">
      <c r="A38" t="inlineStr">
        <is>
          <t>Men's Clothing</t>
        </is>
      </c>
      <c r="B38" t="n">
        <v>208</v>
      </c>
      <c r="C38" t="n">
        <v>43856.8</v>
      </c>
      <c r="D38" t="n">
        <v>113</v>
      </c>
      <c r="E38" t="n">
        <v>54.33</v>
      </c>
    </row>
    <row r="39">
      <c r="A39" t="inlineStr">
        <is>
          <t>Pet Supplies</t>
        </is>
      </c>
      <c r="B39" t="n">
        <v>492</v>
      </c>
      <c r="C39" t="n">
        <v>41524.8</v>
      </c>
      <c r="D39" t="n">
        <v>290</v>
      </c>
      <c r="E39" t="n">
        <v>58.94</v>
      </c>
    </row>
    <row r="40">
      <c r="A40" t="inlineStr">
        <is>
          <t>Video Games</t>
        </is>
      </c>
      <c r="B40" t="n">
        <v>838</v>
      </c>
      <c r="C40" t="n">
        <v>33310.5</v>
      </c>
      <c r="D40" t="n">
        <v>455</v>
      </c>
      <c r="E40" t="n">
        <v>54.3</v>
      </c>
    </row>
    <row r="41">
      <c r="A41" t="inlineStr">
        <is>
          <t>Strength Training</t>
        </is>
      </c>
      <c r="B41" t="n">
        <v>9</v>
      </c>
      <c r="C41" t="n">
        <v>17999.91</v>
      </c>
      <c r="D41" t="n">
        <v>4</v>
      </c>
      <c r="E41" t="n">
        <v>44.44</v>
      </c>
    </row>
    <row r="42">
      <c r="A42" t="inlineStr">
        <is>
          <t>Books</t>
        </is>
      </c>
      <c r="B42" t="n">
        <v>405</v>
      </c>
      <c r="C42" t="n">
        <v>12587.4</v>
      </c>
      <c r="D42" t="n">
        <v>229</v>
      </c>
      <c r="E42" t="n">
        <v>56.54</v>
      </c>
    </row>
    <row r="43">
      <c r="A43" t="inlineStr">
        <is>
          <t>Baby</t>
        </is>
      </c>
      <c r="B43" t="n">
        <v>207</v>
      </c>
      <c r="C43" t="n">
        <v>12229.56</v>
      </c>
      <c r="D43" t="n">
        <v>109</v>
      </c>
      <c r="E43" t="n">
        <v>52.66</v>
      </c>
    </row>
    <row r="44">
      <c r="A44" t="inlineStr">
        <is>
          <t>Basketball</t>
        </is>
      </c>
      <c r="B44" t="n">
        <v>8</v>
      </c>
      <c r="C44" t="n">
        <v>7999.92</v>
      </c>
      <c r="D44" t="n">
        <v>5</v>
      </c>
      <c r="E44" t="n">
        <v>62.5</v>
      </c>
    </row>
    <row r="45">
      <c r="A45" t="inlineStr">
        <is>
          <t>Cleats</t>
        </is>
      </c>
      <c r="B45" t="n">
        <v>30</v>
      </c>
      <c r="C45" t="n">
        <v>7198.8</v>
      </c>
      <c r="D45" t="n">
        <v>13</v>
      </c>
      <c r="E45" t="n">
        <v>43.33</v>
      </c>
    </row>
    <row r="46">
      <c r="A46" t="inlineStr">
        <is>
          <t>Fishing</t>
        </is>
      </c>
      <c r="B46" t="n">
        <v>16</v>
      </c>
      <c r="C46" t="n">
        <v>6799.66</v>
      </c>
      <c r="D46" t="n">
        <v>8</v>
      </c>
      <c r="E46" t="n">
        <v>50</v>
      </c>
    </row>
    <row r="47">
      <c r="A47" t="inlineStr">
        <is>
          <t>Cardio Equipment</t>
        </is>
      </c>
      <c r="B47" t="n">
        <v>20</v>
      </c>
      <c r="C47" t="n">
        <v>6399.36</v>
      </c>
      <c r="D47" t="n">
        <v>9</v>
      </c>
      <c r="E47" t="n">
        <v>45</v>
      </c>
    </row>
    <row r="48">
      <c r="A48" t="inlineStr">
        <is>
          <t>Toys</t>
        </is>
      </c>
      <c r="B48" t="n">
        <v>529</v>
      </c>
      <c r="C48" t="n">
        <v>6104.66</v>
      </c>
      <c r="D48" t="n">
        <v>291</v>
      </c>
      <c r="E48" t="n">
        <v>55.01</v>
      </c>
    </row>
    <row r="49">
      <c r="A49" t="inlineStr">
        <is>
          <t>Water Sports</t>
        </is>
      </c>
      <c r="B49" t="n">
        <v>22</v>
      </c>
      <c r="C49" t="n">
        <v>4999.75</v>
      </c>
      <c r="D49" t="n">
        <v>8</v>
      </c>
      <c r="E49" t="n">
        <v>36.36</v>
      </c>
    </row>
    <row r="50">
      <c r="A50" t="inlineStr">
        <is>
          <t>Camping &amp; Hiking</t>
        </is>
      </c>
      <c r="B50" t="n">
        <v>13</v>
      </c>
      <c r="C50" t="n">
        <v>4499.7</v>
      </c>
      <c r="D50" t="n">
        <v>5</v>
      </c>
      <c r="E50" t="n">
        <v>38.46</v>
      </c>
    </row>
    <row r="51">
      <c r="A51" t="inlineStr">
        <is>
          <t>Kids' Golf Clubs</t>
        </is>
      </c>
      <c r="B51" t="n">
        <v>5</v>
      </c>
      <c r="C51" t="n">
        <v>4199.93</v>
      </c>
      <c r="D51" t="n">
        <v>3</v>
      </c>
      <c r="E51" t="n">
        <v>60</v>
      </c>
    </row>
    <row r="52">
      <c r="A52" t="inlineStr">
        <is>
          <t>Men's Footwear</t>
        </is>
      </c>
      <c r="B52" t="n">
        <v>29</v>
      </c>
      <c r="C52" t="n">
        <v>4159.68</v>
      </c>
      <c r="D52" t="n">
        <v>12</v>
      </c>
      <c r="E52" t="n">
        <v>41.38</v>
      </c>
    </row>
    <row r="53">
      <c r="A53" t="inlineStr">
        <is>
          <t>Women's Apparel</t>
        </is>
      </c>
      <c r="B53" t="n">
        <v>25</v>
      </c>
      <c r="C53" t="n">
        <v>3900</v>
      </c>
      <c r="D53" t="n">
        <v>13</v>
      </c>
      <c r="E53" t="n">
        <v>52</v>
      </c>
    </row>
    <row r="54">
      <c r="A54" t="inlineStr">
        <is>
          <t>Indoor/Outdoor Games</t>
        </is>
      </c>
      <c r="B54" t="n">
        <v>20</v>
      </c>
      <c r="C54" t="n">
        <v>3398.64</v>
      </c>
      <c r="D54" t="n">
        <v>14</v>
      </c>
      <c r="E54" t="n">
        <v>70</v>
      </c>
    </row>
    <row r="55">
      <c r="A55" t="inlineStr">
        <is>
          <t>CDs</t>
        </is>
      </c>
      <c r="B55" t="n">
        <v>271</v>
      </c>
      <c r="C55" t="n">
        <v>3059.59</v>
      </c>
      <c r="D55" t="n">
        <v>141</v>
      </c>
      <c r="E55" t="n">
        <v>52.03</v>
      </c>
    </row>
    <row r="56">
      <c r="A56" t="inlineStr">
        <is>
          <t>Fitness Accessories</t>
        </is>
      </c>
      <c r="B56" t="n">
        <v>3</v>
      </c>
      <c r="C56" t="n">
        <v>1799.97</v>
      </c>
      <c r="D56" t="n">
        <v>1</v>
      </c>
      <c r="E56" t="n">
        <v>33.33</v>
      </c>
    </row>
    <row r="57">
      <c r="A57" t="inlineStr">
        <is>
          <t>Shop By Sport</t>
        </is>
      </c>
      <c r="B57" t="n">
        <v>9</v>
      </c>
      <c r="C57" t="n">
        <v>999.75</v>
      </c>
      <c r="D57" t="n">
        <v>5</v>
      </c>
      <c r="E57" t="n">
        <v>55.56</v>
      </c>
    </row>
    <row r="58">
      <c r="A58" t="inlineStr">
        <is>
          <t>合计：品类订单数 8,530，窗口内订单数 8,403，差 127 来自 63 个含 2–5 行的订单。各品类样本 3–30 单，标准误约 9–29 个百分点，不出图、不作品类层面结论。</t>
        </is>
      </c>
    </row>
    <row r="60">
      <c r="A60" s="2" t="inlineStr">
        <is>
          <t>3. Q4S 假设 C（只有 13 个断点前后都存在的品类有依据）</t>
        </is>
      </c>
    </row>
    <row r="61">
      <c r="A61" s="2" t="inlineStr">
        <is>
          <t>品类</t>
        </is>
      </c>
      <c r="B61" s="2" t="inlineStr">
        <is>
          <t>断点后记录值</t>
        </is>
      </c>
      <c r="C61" s="2" t="inlineStr">
        <is>
          <t>假设 C 订单数</t>
        </is>
      </c>
      <c r="D61" s="2" t="inlineStr">
        <is>
          <t>断点前延迟率（%）</t>
        </is>
      </c>
      <c r="E61" s="2" t="inlineStr">
        <is>
          <t>断点后记录延迟率（%）</t>
        </is>
      </c>
    </row>
    <row r="62">
      <c r="A62" t="inlineStr">
        <is>
          <t>Cleats</t>
        </is>
      </c>
      <c r="B62" t="n">
        <v>30</v>
      </c>
      <c r="C62" t="n">
        <v>2983</v>
      </c>
      <c r="D62" t="n">
        <v>55.09</v>
      </c>
      <c r="E62" t="n">
        <v>43.33</v>
      </c>
    </row>
    <row r="63">
      <c r="A63" t="inlineStr">
        <is>
          <t>Men's Footwear</t>
        </is>
      </c>
      <c r="B63" t="n">
        <v>29</v>
      </c>
      <c r="C63" t="n">
        <v>2748</v>
      </c>
      <c r="D63" t="n">
        <v>54.58</v>
      </c>
      <c r="E63" t="n">
        <v>41.38</v>
      </c>
    </row>
    <row r="64">
      <c r="A64" t="inlineStr">
        <is>
          <t>Women's Apparel</t>
        </is>
      </c>
      <c r="B64" t="n">
        <v>25</v>
      </c>
      <c r="C64" t="n">
        <v>2615</v>
      </c>
      <c r="D64" t="n">
        <v>54.42</v>
      </c>
      <c r="E64" t="n">
        <v>52</v>
      </c>
    </row>
    <row r="65">
      <c r="A65" t="inlineStr">
        <is>
          <t>Water Sports</t>
        </is>
      </c>
      <c r="B65" t="n">
        <v>22</v>
      </c>
      <c r="C65" t="n">
        <v>2013</v>
      </c>
      <c r="D65" t="n">
        <v>55.04</v>
      </c>
      <c r="E65" t="n">
        <v>36.36</v>
      </c>
    </row>
    <row r="66">
      <c r="A66" t="inlineStr">
        <is>
          <t>Cardio Equipment</t>
        </is>
      </c>
      <c r="B66" t="n">
        <v>20</v>
      </c>
      <c r="C66" t="n">
        <v>1661</v>
      </c>
      <c r="D66" t="n">
        <v>54.67</v>
      </c>
      <c r="E66" t="n">
        <v>45</v>
      </c>
    </row>
    <row r="67">
      <c r="A67" t="inlineStr">
        <is>
          <t>Indoor/Outdoor Games</t>
        </is>
      </c>
      <c r="B67" t="n">
        <v>20</v>
      </c>
      <c r="C67" t="n">
        <v>2433</v>
      </c>
      <c r="D67" t="n">
        <v>54.8</v>
      </c>
      <c r="E67" t="n">
        <v>70</v>
      </c>
    </row>
    <row r="68">
      <c r="A68" t="inlineStr">
        <is>
          <t>Fishing</t>
        </is>
      </c>
      <c r="B68" t="n">
        <v>16</v>
      </c>
      <c r="C68" t="n">
        <v>2220</v>
      </c>
      <c r="D68" t="n">
        <v>54.94</v>
      </c>
      <c r="E68" t="n">
        <v>50</v>
      </c>
    </row>
    <row r="69">
      <c r="A69" t="inlineStr">
        <is>
          <t>Camping &amp; Hiking</t>
        </is>
      </c>
      <c r="B69" t="n">
        <v>13</v>
      </c>
      <c r="C69" t="n">
        <v>1800</v>
      </c>
      <c r="D69" t="n">
        <v>54.65</v>
      </c>
      <c r="E69" t="n">
        <v>38.46</v>
      </c>
    </row>
    <row r="70">
      <c r="A70" t="inlineStr">
        <is>
          <t>Strength Training</t>
        </is>
      </c>
      <c r="B70" t="n">
        <v>9</v>
      </c>
      <c r="C70" t="n">
        <v>15</v>
      </c>
      <c r="D70" t="n">
        <v>58.82</v>
      </c>
      <c r="E70" t="n">
        <v>44.44</v>
      </c>
    </row>
    <row r="71">
      <c r="A71" t="inlineStr">
        <is>
          <t>Shop By Sport</t>
        </is>
      </c>
      <c r="B71" t="n">
        <v>9</v>
      </c>
      <c r="C71" t="n">
        <v>1484</v>
      </c>
      <c r="D71" t="n">
        <v>55.07</v>
      </c>
      <c r="E71" t="n">
        <v>55.56</v>
      </c>
    </row>
    <row r="72">
      <c r="A72" t="inlineStr">
        <is>
          <t>Basketball</t>
        </is>
      </c>
      <c r="B72" t="n">
        <v>8</v>
      </c>
      <c r="C72" t="n">
        <v>8</v>
      </c>
      <c r="D72" t="n">
        <v>53.57</v>
      </c>
      <c r="E72" t="n">
        <v>62.5</v>
      </c>
    </row>
    <row r="73">
      <c r="A73" t="inlineStr">
        <is>
          <t>Kids' Golf Clubs</t>
        </is>
      </c>
      <c r="B73" t="n">
        <v>5</v>
      </c>
      <c r="C73" t="n">
        <v>54</v>
      </c>
      <c r="D73" t="n">
        <v>53.26</v>
      </c>
      <c r="E73" t="n">
        <v>60</v>
      </c>
    </row>
    <row r="74">
      <c r="A74" t="inlineStr">
        <is>
          <t>Fitness Accessories</t>
        </is>
      </c>
      <c r="B74" t="n">
        <v>3</v>
      </c>
      <c r="C74" t="n">
        <v>45</v>
      </c>
      <c r="D74" t="n">
        <v>56.91</v>
      </c>
      <c r="E74" t="n">
        <v>33.33</v>
      </c>
    </row>
    <row r="75">
      <c r="A75" s="2" t="inlineStr">
        <is>
          <t>合计：记录值 209，假设 C 20,079。两个数不能直接比较——每单品类数从约 2.6 降到约 1，分母含义变了。可比的是同一窗口内的占比：13 个共有品类占全部（订单，品类）对的比例，断点前 90.77%，断点后 2.45%。</t>
        </is>
      </c>
    </row>
    <row r="77">
      <c r="A77" s="2" t="inlineStr">
        <is>
          <t>4. Q1 跨断点稳健性（两段都出现的 7 个地区）</t>
        </is>
      </c>
    </row>
    <row r="78">
      <c r="A78" s="2" t="inlineStr">
        <is>
          <t>地区</t>
        </is>
      </c>
      <c r="B78" s="2" t="inlineStr">
        <is>
          <t>断点前订单数</t>
        </is>
      </c>
      <c r="C78" s="2" t="inlineStr">
        <is>
          <t>断点前延迟率（%）</t>
        </is>
      </c>
      <c r="D78" s="2" t="inlineStr">
        <is>
          <t>断点后订单数</t>
        </is>
      </c>
      <c r="E78" s="2" t="inlineStr">
        <is>
          <t>断点后延迟率（%）</t>
        </is>
      </c>
      <c r="F78" s="2" t="inlineStr">
        <is>
          <t>差值（百分点）</t>
        </is>
      </c>
    </row>
    <row r="79">
      <c r="A79" t="inlineStr">
        <is>
          <t>Western Europe</t>
        </is>
      </c>
      <c r="B79" t="n">
        <v>8395</v>
      </c>
      <c r="C79" t="n">
        <v>55.78</v>
      </c>
      <c r="D79" t="n">
        <v>1615</v>
      </c>
      <c r="E79" t="n">
        <v>55.85</v>
      </c>
      <c r="F79" t="n">
        <v>0.07000000000000001</v>
      </c>
    </row>
    <row r="80">
      <c r="A80" t="inlineStr">
        <is>
          <t>Northern Europe</t>
        </is>
      </c>
      <c r="B80" t="n">
        <v>3114</v>
      </c>
      <c r="C80" t="n">
        <v>53.82</v>
      </c>
      <c r="D80" t="n">
        <v>602</v>
      </c>
      <c r="E80" t="n">
        <v>53.16</v>
      </c>
      <c r="F80" t="n">
        <v>-0.67</v>
      </c>
    </row>
    <row r="81">
      <c r="A81" t="inlineStr">
        <is>
          <t>Southern Europe</t>
        </is>
      </c>
      <c r="B81" t="n">
        <v>2977</v>
      </c>
      <c r="C81" t="n">
        <v>53.75</v>
      </c>
      <c r="D81" t="n">
        <v>566</v>
      </c>
      <c r="E81" t="n">
        <v>52.12</v>
      </c>
      <c r="F81" t="n">
        <v>-1.63</v>
      </c>
    </row>
    <row r="82">
      <c r="A82" t="inlineStr">
        <is>
          <t>Oceania</t>
        </is>
      </c>
      <c r="B82" t="n">
        <v>2926</v>
      </c>
      <c r="C82" t="n">
        <v>54.34</v>
      </c>
      <c r="D82" t="n">
        <v>1436</v>
      </c>
      <c r="E82" t="n">
        <v>55.15</v>
      </c>
      <c r="F82" t="n">
        <v>0.8100000000000001</v>
      </c>
    </row>
    <row r="83">
      <c r="A83" t="inlineStr">
        <is>
          <t>Southeast Asia</t>
        </is>
      </c>
      <c r="B83" t="n">
        <v>2607</v>
      </c>
      <c r="C83" t="n">
        <v>55.54</v>
      </c>
      <c r="D83" t="n">
        <v>1749</v>
      </c>
      <c r="E83" t="n">
        <v>55.63</v>
      </c>
      <c r="F83" t="n">
        <v>0.09</v>
      </c>
    </row>
    <row r="84">
      <c r="A84" t="inlineStr">
        <is>
          <t>South Asia</t>
        </is>
      </c>
      <c r="B84" t="n">
        <v>2216</v>
      </c>
      <c r="C84" t="n">
        <v>55.87</v>
      </c>
      <c r="D84" t="n">
        <v>1119</v>
      </c>
      <c r="E84" t="n">
        <v>56.03</v>
      </c>
      <c r="F84" t="n">
        <v>0.17</v>
      </c>
    </row>
    <row r="85">
      <c r="A85" t="inlineStr">
        <is>
          <t>Eastern Asia</t>
        </is>
      </c>
      <c r="B85" t="n">
        <v>2002</v>
      </c>
      <c r="C85" t="n">
        <v>54.5</v>
      </c>
      <c r="D85" t="n">
        <v>1316</v>
      </c>
      <c r="E85" t="n">
        <v>55.24</v>
      </c>
      <c r="F85" t="n">
        <v>0.75</v>
      </c>
    </row>
    <row r="86">
      <c r="A86" t="inlineStr">
        <is>
          <t>注：本表按段落分窗口，断点前（33 个月）+ 断点后（4 个月）= Q1 页的全期数字，例如 Western Europe 8,395 + 1,615 = 10,010。两处不能直接混用。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2026-10-14T08:24:09Z</dcterms:created>
  <dcterms:modified xsi:type="dcterms:W3CDTF">2026-10-14T08:24:29Z</dcterms:modified>
</cp:coreProperties>
</file>